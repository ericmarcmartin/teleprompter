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Hey Celia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<sst xmlns="http://schemas.openxmlformats.org/spreadsheetml/2006/main" count="133" uniqueCount="54">
  <si>
    <t>Page 1 Log in Page</t>
  </si>
  <si>
    <t>THOTH AI</t>
  </si>
  <si>
    <t>EMAIL</t>
  </si>
  <si>
    <t>PASSWORD</t>
  </si>
  <si>
    <t>Reset</t>
  </si>
  <si>
    <t>Guest</t>
  </si>
  <si>
    <t>File Ticket</t>
  </si>
  <si>
    <t>Page 2 Home</t>
  </si>
  <si>
    <t>Access</t>
  </si>
  <si>
    <t>User:</t>
  </si>
  <si>
    <t>John Michael</t>
  </si>
  <si>
    <t>System Date and Time</t>
  </si>
  <si>
    <t>Admin</t>
  </si>
  <si>
    <t>Menu</t>
  </si>
  <si>
    <t>Task ID</t>
  </si>
  <si>
    <t>Home</t>
  </si>
  <si>
    <t>Project</t>
  </si>
  <si>
    <t>Schedule</t>
  </si>
  <si>
    <t>Meta</t>
  </si>
  <si>
    <t>SIL</t>
  </si>
  <si>
    <t>Data</t>
  </si>
  <si>
    <t>Punch</t>
  </si>
  <si>
    <t>Clock Out</t>
  </si>
  <si>
    <t>Status</t>
  </si>
  <si>
    <t>Select Option</t>
  </si>
  <si>
    <t>Punch!</t>
  </si>
  <si>
    <t>Once you start recording, you will need to finish the recording.
Please record in a quiet environment.
Do not use headset</t>
  </si>
  <si>
    <t>Time</t>
  </si>
  <si>
    <t>Duration</t>
  </si>
  <si>
    <t>Clock In: Productive</t>
  </si>
  <si>
    <t>START</t>
  </si>
  <si>
    <t>Clock In: Break</t>
  </si>
  <si>
    <t>Page 2 Recording Page</t>
  </si>
  <si>
    <t>Page 2 Schedule Calendar</t>
  </si>
  <si>
    <t>Agent</t>
  </si>
  <si>
    <t>Hey Celia!</t>
  </si>
  <si>
    <t>Work</t>
  </si>
  <si>
    <t>Off</t>
  </si>
  <si>
    <t>Hours</t>
  </si>
  <si>
    <t>Vacation Leave</t>
  </si>
  <si>
    <t>⏪Prev</t>
  </si>
  <si>
    <t>Next ⏩</t>
  </si>
  <si>
    <t>Page 3 SIL</t>
  </si>
  <si>
    <t>SIL Type</t>
  </si>
  <si>
    <t>Vacation</t>
  </si>
  <si>
    <t>Sick</t>
  </si>
  <si>
    <t>Maternity</t>
  </si>
  <si>
    <t>Start Date</t>
  </si>
  <si>
    <t>Mental Health</t>
  </si>
  <si>
    <t>End Date</t>
  </si>
  <si>
    <t>Remarks</t>
  </si>
  <si>
    <t>Attachments📎</t>
  </si>
  <si>
    <t>Approval: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</si>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</sst>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:ss am/pm"/>
    <numFmt numFmtId="166" formatCode="m&quot;/&quot;d"/>
  </numFmts>
  <fonts count="9">
    <font>
      <sz val="10.0"/>
      <color rgb="FF000000"/>
      <name val="Arial"/>
      <scheme val="minor"/>
    </font>
    <font>
      <color theme="1"/>
      <name val="Work Sans"/>
    </font>
    <font>
      <i/>
      <color theme="1"/>
      <name val="Work Sans"/>
    </font>
    <font>
      <color rgb="FFFFFFFF"/>
      <name val="Work Sans"/>
    </font>
    <font>
      <color theme="1"/>
      <name val="Arial"/>
      <scheme val="minor"/>
    </font>
    <font/>
    <font>
      <sz val="38.0"/>
      <color theme="1"/>
      <name val="Arial"/>
      <scheme val="minor"/>
    </font>
    <font>
      <sz val="31.0"/>
      <color theme="1"/>
      <name val="Work Sans"/>
    </font>
    <font>
      <color rgb="FF000000"/>
      <name val="Work Sans"/>
    </font>
  </fonts>
  <fills count="1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1C232"/>
        <bgColor rgb="FFF1C232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2" fontId="1" numFmtId="0" xfId="0" applyAlignment="1" applyFill="1" applyFont="1">
      <alignment horizontal="center" readingOrder="0"/>
    </xf>
    <xf borderId="5" fillId="0" fontId="1" numFmtId="0" xfId="0" applyBorder="1" applyFont="1"/>
    <xf borderId="0" fillId="3" fontId="1" numFmtId="0" xfId="0" applyAlignment="1" applyFill="1" applyFont="1">
      <alignment readingOrder="0"/>
    </xf>
    <xf borderId="6" fillId="0" fontId="1" numFmtId="0" xfId="0" applyBorder="1" applyFont="1"/>
    <xf borderId="7" fillId="0" fontId="1" numFmtId="0" xfId="0" applyBorder="1" applyFont="1"/>
    <xf borderId="0" fillId="4" fontId="3" numFmtId="0" xfId="0" applyAlignment="1" applyFill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right" readingOrder="0"/>
    </xf>
    <xf borderId="1" fillId="6" fontId="3" numFmtId="0" xfId="0" applyAlignment="1" applyBorder="1" applyFill="1" applyFont="1">
      <alignment readingOrder="0"/>
    </xf>
    <xf borderId="3" fillId="6" fontId="3" numFmtId="0" xfId="0" applyBorder="1" applyFill="1" applyFont="1"/>
    <xf borderId="4" fillId="0" fontId="1" numFmtId="0" xfId="0" applyAlignment="1" applyBorder="1" applyFont="1">
      <alignment horizontal="left" readingOrder="0"/>
    </xf>
    <xf borderId="8" fillId="7" fontId="2" numFmtId="164" xfId="0" applyAlignment="1" applyBorder="1" applyFill="1" applyFont="1" applyNumberFormat="1">
      <alignment readingOrder="0"/>
    </xf>
    <xf borderId="10" fillId="7" fontId="2" numFmtId="165" xfId="0" applyAlignment="1" applyBorder="1" applyFill="1" applyFont="1" applyNumberFormat="1">
      <alignment horizontal="right" readingOrder="0"/>
    </xf>
    <xf borderId="5" fillId="0" fontId="4" numFmtId="0" xfId="0" applyBorder="1" applyFont="1"/>
    <xf borderId="0" fillId="8" fontId="3" numFmtId="0" xfId="0" applyAlignment="1" applyFill="1" applyFont="1">
      <alignment readingOrder="0"/>
    </xf>
    <xf borderId="0" fillId="5" fontId="1" numFmtId="0" xfId="0" applyFill="1" applyFont="1"/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1" fillId="2" fontId="1" numFmtId="0" xfId="0" applyAlignment="1" applyBorder="1" applyFill="1" applyFont="1">
      <alignment readingOrder="0"/>
    </xf>
    <xf borderId="11" fillId="9" fontId="1" numFmtId="0" xfId="0" applyAlignment="1" applyBorder="1" applyFill="1" applyFont="1">
      <alignment readingOrder="0"/>
    </xf>
    <xf borderId="1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6" fillId="2" fontId="1" numFmtId="0" xfId="0" applyAlignment="1" applyBorder="1" applyFill="1" applyFont="1">
      <alignment readingOrder="0"/>
    </xf>
    <xf borderId="12" fillId="2" fontId="1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12" fillId="2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4" numFmtId="0" xfId="0" applyBorder="1" applyFont="1"/>
    <xf borderId="2" fillId="0" fontId="1" numFmtId="21" xfId="0" applyAlignment="1" applyBorder="1" applyFont="1" applyNumberFormat="1">
      <alignment readingOrder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3" fillId="0" fontId="1" numFmtId="21" xfId="0" applyAlignment="1" applyBorder="1" applyFont="1" applyNumberFormat="1">
      <alignment readingOrder="0"/>
    </xf>
    <xf borderId="1" fillId="3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0" fillId="0" fontId="1" numFmtId="21" xfId="0" applyAlignment="1" applyFont="1" applyNumberFormat="1">
      <alignment readingOrder="0"/>
    </xf>
    <xf borderId="5" fillId="0" fontId="1" numFmtId="21" xfId="0" applyAlignment="1" applyBorder="1" applyFont="1" applyNumberFormat="1">
      <alignment readingOrder="0"/>
    </xf>
    <xf borderId="5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13" fillId="0" fontId="6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0" fillId="0" fontId="4" numFmtId="166" xfId="0" applyFont="1" applyNumberFormat="1"/>
    <xf borderId="14" fillId="0" fontId="5" numFmtId="0" xfId="0" applyBorder="1" applyFont="1"/>
    <xf borderId="15" fillId="0" fontId="5" numFmtId="0" xfId="0" applyBorder="1" applyFont="1"/>
    <xf borderId="0" fillId="0" fontId="7" numFmtId="0" xfId="0" applyAlignment="1" applyFont="1">
      <alignment horizontal="center" readingOrder="0" vertical="center"/>
    </xf>
    <xf borderId="0" fillId="9" fontId="1" numFmtId="0" xfId="0" applyAlignment="1" applyFill="1" applyFont="1">
      <alignment readingOrder="0"/>
    </xf>
    <xf borderId="0" fillId="10" fontId="3" numFmtId="166" xfId="0" applyAlignment="1" applyFill="1" applyFont="1" applyNumberFormat="1">
      <alignment readingOrder="0"/>
    </xf>
    <xf borderId="11" fillId="0" fontId="4" numFmtId="0" xfId="0" applyAlignment="1" applyBorder="1" applyFont="1">
      <alignment readingOrder="0"/>
    </xf>
    <xf borderId="11" fillId="0" fontId="4" numFmtId="0" xfId="0" applyBorder="1" applyFont="1"/>
    <xf borderId="0" fillId="11" fontId="3" numFmtId="0" xfId="0" applyAlignment="1" applyFill="1" applyFont="1">
      <alignment horizontal="center" readingOrder="0"/>
    </xf>
    <xf borderId="8" fillId="0" fontId="4" numFmtId="0" xfId="0" applyBorder="1" applyFont="1"/>
    <xf borderId="0" fillId="6" fontId="3" numFmtId="0" xfId="0" applyAlignment="1" applyFill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0" fillId="12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8" fillId="7" fontId="2" numFmtId="164" xfId="0" applyAlignment="1" applyBorder="1" applyFill="1" applyFont="1" applyNumberFormat="1">
      <alignment horizontal="right" vertical="bottom"/>
    </xf>
    <xf borderId="10" fillId="7" fontId="2" numFmtId="165" xfId="0" applyAlignment="1" applyBorder="1" applyFill="1" applyFont="1" applyNumberFormat="1">
      <alignment horizontal="right" vertical="bottom"/>
    </xf>
    <xf borderId="13" fillId="5" fontId="1" numFmtId="0" xfId="0" applyBorder="1" applyFill="1" applyFont="1"/>
    <xf borderId="14" fillId="5" fontId="1" numFmtId="0" xfId="0" applyAlignment="1" applyBorder="1" applyFill="1" applyFont="1">
      <alignment readingOrder="0"/>
    </xf>
    <xf borderId="7" fillId="0" fontId="5" numFmtId="0" xfId="0" applyBorder="1" applyFont="1"/>
    <xf borderId="11" fillId="10" fontId="3" numFmtId="0" xfId="0" applyAlignment="1" applyBorder="1" applyFill="1" applyFont="1">
      <alignment readingOrder="0" shrinkToFit="0" wrapText="0"/>
    </xf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4" fillId="5" fontId="1" numFmtId="0" xfId="0" applyBorder="1" applyFill="1" applyFont="1"/>
    <xf borderId="6" fillId="14" fontId="1" numFmtId="0" xfId="0" applyBorder="1" applyFill="1" applyFont="1"/>
    <xf borderId="7" fillId="14" fontId="1" numFmtId="0" xfId="0" applyBorder="1" applyFill="1" applyFont="1"/>
    <xf borderId="11" fillId="15" fontId="1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readingOrder="0"/>
    </xf>
    <xf borderId="15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1" width="13.5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3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6"/>
      <c r="D3" s="7" t="s">
        <v>1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6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6"/>
      <c r="D5" s="9" t="s">
        <v>2</v>
      </c>
      <c r="E5" s="10"/>
      <c r="F5" s="11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6"/>
      <c r="D6" s="9" t="s">
        <v>3</v>
      </c>
      <c r="E6" s="10"/>
      <c r="F6" s="11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6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"/>
      <c r="C8" s="6"/>
      <c r="D8" s="12" t="s">
        <v>4</v>
      </c>
      <c r="E8" s="1"/>
      <c r="F8" s="12" t="s">
        <v>6</v>
      </c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6"/>
      <c r="D9" s="1"/>
      <c r="E9" s="1"/>
      <c r="F9" s="1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6"/>
      <c r="D10" s="1"/>
      <c r="E10" s="1"/>
      <c r="F10" s="1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3"/>
      <c r="D11" s="14"/>
      <c r="E11" s="14"/>
      <c r="F11" s="14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 t="s">
        <v>7</v>
      </c>
      <c r="B13" s="17" t="s">
        <v>8</v>
      </c>
      <c r="C13" s="18" t="s">
        <v>9</v>
      </c>
      <c r="D13" s="18" t="s">
        <v>10</v>
      </c>
      <c r="E13" s="4"/>
      <c r="F13" s="4"/>
      <c r="G13" s="4"/>
      <c r="H13" s="19" t="s">
        <v>11</v>
      </c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1" t="s">
        <v>12</v>
      </c>
      <c r="C14" s="1"/>
      <c r="D14" s="1"/>
      <c r="E14" s="1"/>
      <c r="F14" s="1"/>
      <c r="H14" s="22">
        <f>NOW()</f>
        <v>46284.60626</v>
      </c>
      <c r="I14" s="23" t="str">
        <f>Text(NOW(),"HH:MM:SS")</f>
        <v>14:33:01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6"/>
      <c r="C15" s="1"/>
      <c r="D15" s="1"/>
      <c r="E15" s="1"/>
      <c r="F15" s="1"/>
      <c r="I15" s="2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6"/>
      <c r="C16" s="1"/>
      <c r="D16" s="1"/>
      <c r="E16" s="1"/>
      <c r="F16" s="1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6"/>
      <c r="C17" s="25" t="s">
        <v>13</v>
      </c>
      <c r="D17" s="1"/>
      <c r="E17" s="1"/>
      <c r="F17" s="1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6"/>
      <c r="C18" s="26"/>
      <c r="D18" s="1"/>
      <c r="E18" s="1"/>
      <c r="F18" s="1"/>
      <c r="G18" s="1"/>
      <c r="H18" s="1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6"/>
      <c r="C19" s="28" t="s">
        <v>15</v>
      </c>
      <c r="D19" s="1"/>
      <c r="E19" s="29" t="s">
        <v>16</v>
      </c>
      <c r="G19" s="1"/>
      <c r="H19" s="1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6"/>
      <c r="C20" s="28" t="s">
        <v>17</v>
      </c>
      <c r="D20" s="1"/>
      <c r="E20" s="16" t="s">
        <v>18</v>
      </c>
      <c r="G20" s="1"/>
      <c r="H20" s="1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6"/>
      <c r="C21" s="28" t="s">
        <v>19</v>
      </c>
      <c r="D21" s="1"/>
      <c r="E21" s="1"/>
      <c r="F21" s="1"/>
      <c r="G21" s="1"/>
      <c r="H21" s="1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6"/>
      <c r="C22" s="28" t="s">
        <v>20</v>
      </c>
      <c r="D22" s="1"/>
      <c r="E22" s="31" t="s">
        <v>21</v>
      </c>
      <c r="F22" s="16" t="s">
        <v>22</v>
      </c>
      <c r="H22" s="1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6"/>
      <c r="C23" s="26"/>
      <c r="D23" s="1"/>
      <c r="E23" s="32" t="s">
        <v>23</v>
      </c>
      <c r="F23" s="16" t="s">
        <v>24</v>
      </c>
      <c r="H23" s="1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6"/>
      <c r="C24" s="26"/>
      <c r="D24" s="1"/>
      <c r="E24" s="1"/>
      <c r="F24" s="1"/>
      <c r="H24" s="33" t="s">
        <v>25</v>
      </c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6"/>
      <c r="C25" s="26"/>
      <c r="D25" s="1"/>
      <c r="E25" s="1"/>
      <c r="F25" s="1"/>
      <c r="G25" s="1"/>
      <c r="H25" s="1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6"/>
      <c r="C26" s="26"/>
      <c r="D26" s="1"/>
      <c r="E26" s="37" t="s">
        <v>23</v>
      </c>
      <c r="F26" s="38"/>
      <c r="G26" s="41" t="s">
        <v>27</v>
      </c>
      <c r="H26" s="42" t="s">
        <v>28</v>
      </c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6"/>
      <c r="C27" s="26"/>
      <c r="D27" s="1"/>
      <c r="E27" s="43" t="s">
        <v>29</v>
      </c>
      <c r="F27" s="44"/>
      <c r="G27" s="45">
        <v>0.4166666666666667</v>
      </c>
      <c r="H27" s="49">
        <f t="shared" ref="H27:H29" si="1">if(G28="","Ongoing",(G28-G27))</f>
        <v>0.08333333333</v>
      </c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6"/>
      <c r="C28" s="26"/>
      <c r="D28" s="1"/>
      <c r="E28" s="51" t="s">
        <v>31</v>
      </c>
      <c r="G28" s="52">
        <v>0.5</v>
      </c>
      <c r="H28" s="53">
        <f t="shared" si="1"/>
        <v>0.01041666667</v>
      </c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6"/>
      <c r="C29" s="26"/>
      <c r="D29" s="1"/>
      <c r="E29" s="51" t="s">
        <v>29</v>
      </c>
      <c r="G29" s="52">
        <v>0.5104166666666666</v>
      </c>
      <c r="H29" s="54" t="str">
        <f t="shared" si="1"/>
        <v>Ongoing</v>
      </c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6"/>
      <c r="C30" s="26"/>
      <c r="D30" s="1"/>
      <c r="E30" s="6"/>
      <c r="F30" s="1"/>
      <c r="G30" s="1"/>
      <c r="H30" s="55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6"/>
      <c r="C31" s="26"/>
      <c r="D31" s="1"/>
      <c r="E31" s="13"/>
      <c r="F31" s="14"/>
      <c r="G31" s="14"/>
      <c r="H31" s="56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6"/>
      <c r="C32" s="1"/>
      <c r="D32" s="1"/>
      <c r="E32" s="1"/>
      <c r="F32" s="1"/>
      <c r="G32" s="1"/>
      <c r="H32" s="1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3"/>
      <c r="C33" s="14"/>
      <c r="D33" s="14"/>
      <c r="E33" s="14"/>
      <c r="F33" s="14"/>
      <c r="G33" s="14"/>
      <c r="H33" s="14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7" t="s">
        <v>8</v>
      </c>
      <c r="C38" s="18" t="s">
        <v>9</v>
      </c>
      <c r="D38" s="61" t="s">
        <v>10</v>
      </c>
      <c r="E38" s="4"/>
      <c r="F38" s="4"/>
      <c r="G38" s="4"/>
      <c r="H38" s="4"/>
      <c r="I38" s="4"/>
      <c r="J38" s="4"/>
      <c r="K38" s="19" t="s">
        <v>11</v>
      </c>
      <c r="L38" s="2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51" t="s">
        <v>34</v>
      </c>
      <c r="E39" s="1"/>
      <c r="F39" s="1"/>
      <c r="G39" s="1"/>
      <c r="H39" s="1"/>
      <c r="I39" s="1"/>
      <c r="K39" s="22">
        <f>NOW()</f>
        <v>46284.60626</v>
      </c>
      <c r="L39" s="23" t="str">
        <f>Text(NOW(),"HH:MM:SS")</f>
        <v>14:33:01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6"/>
      <c r="C40" s="1"/>
      <c r="D40" s="1"/>
      <c r="E40" s="1"/>
      <c r="F40" s="1"/>
      <c r="G40" s="1"/>
      <c r="H40" s="1"/>
      <c r="I40" s="1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6"/>
      <c r="C41" s="1"/>
      <c r="D41" s="1"/>
      <c r="E41" s="16"/>
      <c r="F41" s="1"/>
      <c r="G41" s="1"/>
      <c r="H41" s="1"/>
      <c r="I41" s="1"/>
      <c r="J41" s="1"/>
      <c r="K41" s="1"/>
      <c r="L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6"/>
      <c r="C42" s="25" t="s">
        <v>13</v>
      </c>
      <c r="D42" s="1"/>
      <c r="E42" s="66" t="str">
        <f t="shared" ref="E42:K42" si="2">TEXT(E43,"ddd")</f>
        <v>Sun</v>
      </c>
      <c r="F42" s="66" t="str">
        <f t="shared" si="2"/>
        <v>Mon</v>
      </c>
      <c r="G42" s="66" t="str">
        <f t="shared" si="2"/>
        <v>Tue</v>
      </c>
      <c r="H42" s="66" t="str">
        <f t="shared" si="2"/>
        <v>Wed</v>
      </c>
      <c r="I42" s="66" t="str">
        <f t="shared" si="2"/>
        <v>Thu</v>
      </c>
      <c r="J42" s="66" t="str">
        <f t="shared" si="2"/>
        <v>Fri</v>
      </c>
      <c r="K42" s="66" t="str">
        <f t="shared" si="2"/>
        <v>Sat</v>
      </c>
      <c r="L42" s="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6"/>
      <c r="C43" s="26"/>
      <c r="D43" s="1"/>
      <c r="E43" s="67">
        <v>46173.0</v>
      </c>
      <c r="F43" s="67">
        <f t="shared" ref="F43:K43" si="3">E43+1</f>
        <v>46174</v>
      </c>
      <c r="G43" s="67">
        <f t="shared" si="3"/>
        <v>46175</v>
      </c>
      <c r="H43" s="67">
        <f t="shared" si="3"/>
        <v>46176</v>
      </c>
      <c r="I43" s="67">
        <f t="shared" si="3"/>
        <v>46177</v>
      </c>
      <c r="J43" s="67">
        <f t="shared" si="3"/>
        <v>46178</v>
      </c>
      <c r="K43" s="67">
        <f t="shared" si="3"/>
        <v>46179</v>
      </c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6"/>
      <c r="C44" s="28" t="s">
        <v>15</v>
      </c>
      <c r="D44" s="30" t="s">
        <v>17</v>
      </c>
      <c r="E44" s="70" t="s">
        <v>36</v>
      </c>
      <c r="F44" s="70" t="s">
        <v>36</v>
      </c>
      <c r="G44" s="70" t="s">
        <v>36</v>
      </c>
      <c r="H44" s="70" t="s">
        <v>36</v>
      </c>
      <c r="I44" s="70" t="s">
        <v>36</v>
      </c>
      <c r="J44" s="72" t="s">
        <v>37</v>
      </c>
      <c r="K44" s="72" t="s">
        <v>37</v>
      </c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6"/>
      <c r="C45" s="28" t="s">
        <v>17</v>
      </c>
      <c r="D45" s="30" t="s">
        <v>38</v>
      </c>
      <c r="E45" s="75">
        <v>7.5</v>
      </c>
      <c r="F45" s="75">
        <v>4.0</v>
      </c>
      <c r="G45" s="76">
        <v>8.0</v>
      </c>
      <c r="H45" s="76">
        <v>8.0</v>
      </c>
      <c r="I45" s="76">
        <v>8.0</v>
      </c>
      <c r="J45" s="76">
        <v>0.0</v>
      </c>
      <c r="K45" s="76">
        <v>0.0</v>
      </c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6"/>
      <c r="C46" s="28" t="s">
        <v>19</v>
      </c>
      <c r="D46" s="1"/>
      <c r="E46" s="66" t="str">
        <f t="shared" ref="E46:K46" si="4">TEXT(E47,"ddd")</f>
        <v>Sun</v>
      </c>
      <c r="F46" s="66" t="str">
        <f t="shared" si="4"/>
        <v>Mon</v>
      </c>
      <c r="G46" s="66" t="str">
        <f t="shared" si="4"/>
        <v>Tue</v>
      </c>
      <c r="H46" s="66" t="str">
        <f t="shared" si="4"/>
        <v>Wed</v>
      </c>
      <c r="I46" s="66" t="str">
        <f t="shared" si="4"/>
        <v>Thu</v>
      </c>
      <c r="J46" s="66" t="str">
        <f t="shared" si="4"/>
        <v>Fri</v>
      </c>
      <c r="K46" s="66" t="str">
        <f t="shared" si="4"/>
        <v>Sat</v>
      </c>
      <c r="L46" s="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6"/>
      <c r="C47" s="28" t="s">
        <v>20</v>
      </c>
      <c r="D47" s="1"/>
      <c r="E47" s="67">
        <v>46180.0</v>
      </c>
      <c r="F47" s="67">
        <f t="shared" ref="F47:K47" si="5">E47+1</f>
        <v>46181</v>
      </c>
      <c r="G47" s="67">
        <f t="shared" si="5"/>
        <v>46182</v>
      </c>
      <c r="H47" s="67">
        <f t="shared" si="5"/>
        <v>46183</v>
      </c>
      <c r="I47" s="67">
        <f t="shared" si="5"/>
        <v>46184</v>
      </c>
      <c r="J47" s="67">
        <f t="shared" si="5"/>
        <v>46185</v>
      </c>
      <c r="K47" s="67">
        <f t="shared" si="5"/>
        <v>46186</v>
      </c>
      <c r="L47" s="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6"/>
      <c r="C48" s="26"/>
      <c r="D48" s="30" t="s">
        <v>17</v>
      </c>
      <c r="E48" s="70" t="s">
        <v>36</v>
      </c>
      <c r="F48" s="70" t="s">
        <v>36</v>
      </c>
      <c r="G48" s="70" t="s">
        <v>36</v>
      </c>
      <c r="H48" s="70" t="s">
        <v>36</v>
      </c>
      <c r="I48" s="70" t="s">
        <v>36</v>
      </c>
      <c r="J48" s="72" t="s">
        <v>37</v>
      </c>
      <c r="K48" s="72" t="s">
        <v>37</v>
      </c>
      <c r="L48" s="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6"/>
      <c r="C49" s="26"/>
      <c r="D49" s="30" t="s">
        <v>38</v>
      </c>
      <c r="E49" s="76">
        <v>8.0</v>
      </c>
      <c r="F49" s="76">
        <v>8.0</v>
      </c>
      <c r="G49" s="76">
        <v>8.0</v>
      </c>
      <c r="H49" s="76">
        <v>8.0</v>
      </c>
      <c r="I49" s="76">
        <v>8.0</v>
      </c>
      <c r="J49" s="76">
        <v>0.0</v>
      </c>
      <c r="K49" s="76">
        <v>0.0</v>
      </c>
      <c r="L49" s="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6"/>
      <c r="C50" s="26"/>
      <c r="D50" s="1"/>
      <c r="E50" s="66" t="str">
        <f t="shared" ref="E50:K50" si="6">TEXT(E51,"ddd")</f>
        <v>Sun</v>
      </c>
      <c r="F50" s="66" t="str">
        <f t="shared" si="6"/>
        <v>Mon</v>
      </c>
      <c r="G50" s="66" t="str">
        <f t="shared" si="6"/>
        <v>Tue</v>
      </c>
      <c r="H50" s="66" t="str">
        <f t="shared" si="6"/>
        <v>Wed</v>
      </c>
      <c r="I50" s="66" t="str">
        <f t="shared" si="6"/>
        <v>Thu</v>
      </c>
      <c r="J50" s="66" t="str">
        <f t="shared" si="6"/>
        <v>Fri</v>
      </c>
      <c r="K50" s="66" t="str">
        <f t="shared" si="6"/>
        <v>Sat</v>
      </c>
      <c r="L50" s="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6"/>
      <c r="C51" s="26"/>
      <c r="D51" s="1"/>
      <c r="E51" s="67">
        <v>46187.0</v>
      </c>
      <c r="F51" s="67">
        <f t="shared" ref="F51:K51" si="7">E51+1</f>
        <v>46188</v>
      </c>
      <c r="G51" s="67">
        <f t="shared" si="7"/>
        <v>46189</v>
      </c>
      <c r="H51" s="67">
        <f t="shared" si="7"/>
        <v>46190</v>
      </c>
      <c r="I51" s="67">
        <f t="shared" si="7"/>
        <v>46191</v>
      </c>
      <c r="J51" s="67">
        <f t="shared" si="7"/>
        <v>46192</v>
      </c>
      <c r="K51" s="67">
        <f t="shared" si="7"/>
        <v>46193</v>
      </c>
      <c r="L51" s="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6"/>
      <c r="C52" s="26"/>
      <c r="D52" s="30" t="s">
        <v>17</v>
      </c>
      <c r="E52" s="70" t="s">
        <v>36</v>
      </c>
      <c r="F52" s="70" t="s">
        <v>36</v>
      </c>
      <c r="G52" s="70" t="s">
        <v>36</v>
      </c>
      <c r="H52" s="70" t="s">
        <v>36</v>
      </c>
      <c r="I52" s="70" t="s">
        <v>36</v>
      </c>
      <c r="J52" s="72" t="s">
        <v>37</v>
      </c>
      <c r="K52" s="72" t="s">
        <v>37</v>
      </c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6"/>
      <c r="C53" s="26"/>
      <c r="D53" s="30" t="s">
        <v>38</v>
      </c>
      <c r="E53" s="76">
        <v>8.0</v>
      </c>
      <c r="F53" s="76">
        <v>8.0</v>
      </c>
      <c r="G53" s="76">
        <v>8.0</v>
      </c>
      <c r="H53" s="76">
        <v>8.0</v>
      </c>
      <c r="I53" s="76">
        <v>8.0</v>
      </c>
      <c r="J53" s="76">
        <v>0.0</v>
      </c>
      <c r="K53" s="76">
        <v>0.0</v>
      </c>
      <c r="L53" s="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6"/>
      <c r="C54" s="26"/>
      <c r="D54" s="1"/>
      <c r="E54" s="66" t="str">
        <f t="shared" ref="E54:K54" si="8">TEXT(E55,"ddd")</f>
        <v>Sun</v>
      </c>
      <c r="F54" s="66" t="str">
        <f t="shared" si="8"/>
        <v>Mon</v>
      </c>
      <c r="G54" s="66" t="str">
        <f t="shared" si="8"/>
        <v>Tue</v>
      </c>
      <c r="H54" s="66" t="str">
        <f t="shared" si="8"/>
        <v>Wed</v>
      </c>
      <c r="I54" s="66" t="str">
        <f t="shared" si="8"/>
        <v>Thu</v>
      </c>
      <c r="J54" s="66" t="str">
        <f t="shared" si="8"/>
        <v>Fri</v>
      </c>
      <c r="K54" s="66" t="str">
        <f t="shared" si="8"/>
        <v>Sat</v>
      </c>
      <c r="L54" s="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6"/>
      <c r="C55" s="26"/>
      <c r="D55" s="1"/>
      <c r="E55" s="67">
        <v>46194.0</v>
      </c>
      <c r="F55" s="67">
        <f t="shared" ref="F55:K55" si="9">E55+1</f>
        <v>46195</v>
      </c>
      <c r="G55" s="67">
        <f t="shared" si="9"/>
        <v>46196</v>
      </c>
      <c r="H55" s="67">
        <f t="shared" si="9"/>
        <v>46197</v>
      </c>
      <c r="I55" s="67">
        <f t="shared" si="9"/>
        <v>46198</v>
      </c>
      <c r="J55" s="67">
        <f t="shared" si="9"/>
        <v>46199</v>
      </c>
      <c r="K55" s="67">
        <f t="shared" si="9"/>
        <v>46200</v>
      </c>
      <c r="L55" s="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6"/>
      <c r="C56" s="26"/>
      <c r="D56" s="30" t="s">
        <v>17</v>
      </c>
      <c r="E56" s="70" t="s">
        <v>36</v>
      </c>
      <c r="F56" s="70" t="s">
        <v>36</v>
      </c>
      <c r="G56" s="77" t="s">
        <v>39</v>
      </c>
      <c r="H56" s="77" t="s">
        <v>39</v>
      </c>
      <c r="I56" s="70" t="s">
        <v>36</v>
      </c>
      <c r="J56" s="72" t="s">
        <v>37</v>
      </c>
      <c r="K56" s="72" t="s">
        <v>37</v>
      </c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6"/>
      <c r="C57" s="26"/>
      <c r="D57" s="30" t="s">
        <v>38</v>
      </c>
      <c r="E57" s="76">
        <v>8.0</v>
      </c>
      <c r="F57" s="76">
        <v>8.0</v>
      </c>
      <c r="G57" s="78">
        <v>0.0</v>
      </c>
      <c r="H57" s="78">
        <v>0.0</v>
      </c>
      <c r="I57" s="76">
        <v>8.0</v>
      </c>
      <c r="J57" s="76">
        <v>0.0</v>
      </c>
      <c r="K57" s="76">
        <v>0.0</v>
      </c>
      <c r="L57" s="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6"/>
      <c r="C58" s="26"/>
      <c r="D58" s="1"/>
      <c r="E58" s="66" t="str">
        <f t="shared" ref="E58:K58" si="10">TEXT(E59,"ddd")</f>
        <v>Sun</v>
      </c>
      <c r="F58" s="66" t="str">
        <f t="shared" si="10"/>
        <v>Mon</v>
      </c>
      <c r="G58" s="66" t="str">
        <f t="shared" si="10"/>
        <v>Tue</v>
      </c>
      <c r="H58" s="66" t="str">
        <f t="shared" si="10"/>
        <v>Wed</v>
      </c>
      <c r="I58" s="66" t="str">
        <f t="shared" si="10"/>
        <v>Thu</v>
      </c>
      <c r="J58" s="66" t="str">
        <f t="shared" si="10"/>
        <v>Fri</v>
      </c>
      <c r="K58" s="66" t="str">
        <f t="shared" si="10"/>
        <v>Sat</v>
      </c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6"/>
      <c r="C59" s="26"/>
      <c r="D59" s="1"/>
      <c r="E59" s="67">
        <v>46201.0</v>
      </c>
      <c r="F59" s="67">
        <f t="shared" ref="F59:K59" si="11">E59+1</f>
        <v>46202</v>
      </c>
      <c r="G59" s="67">
        <f t="shared" si="11"/>
        <v>46203</v>
      </c>
      <c r="H59" s="67">
        <f t="shared" si="11"/>
        <v>46204</v>
      </c>
      <c r="I59" s="67">
        <f t="shared" si="11"/>
        <v>46205</v>
      </c>
      <c r="J59" s="67">
        <f t="shared" si="11"/>
        <v>46206</v>
      </c>
      <c r="K59" s="67">
        <f t="shared" si="11"/>
        <v>46207</v>
      </c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6"/>
      <c r="C60" s="26"/>
      <c r="D60" s="30" t="s">
        <v>17</v>
      </c>
      <c r="E60" s="70" t="s">
        <v>36</v>
      </c>
      <c r="F60" s="70" t="s">
        <v>36</v>
      </c>
      <c r="G60" s="70" t="s">
        <v>36</v>
      </c>
      <c r="H60" s="70" t="s">
        <v>36</v>
      </c>
      <c r="I60" s="70" t="s">
        <v>36</v>
      </c>
      <c r="J60" s="72" t="s">
        <v>37</v>
      </c>
      <c r="K60" s="72" t="s">
        <v>37</v>
      </c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6"/>
      <c r="C61" s="26"/>
      <c r="D61" s="30" t="s">
        <v>38</v>
      </c>
      <c r="E61" s="76">
        <v>8.0</v>
      </c>
      <c r="F61" s="76">
        <v>8.0</v>
      </c>
      <c r="G61" s="76">
        <v>8.0</v>
      </c>
      <c r="H61" s="76">
        <v>8.0</v>
      </c>
      <c r="I61" s="76">
        <v>8.0</v>
      </c>
      <c r="J61" s="76">
        <v>0.0</v>
      </c>
      <c r="K61" s="76">
        <v>0.0</v>
      </c>
      <c r="L61" s="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6"/>
      <c r="C62" s="1"/>
      <c r="D62" s="1"/>
      <c r="E62" s="1"/>
      <c r="F62" s="1"/>
      <c r="G62" s="1"/>
      <c r="H62" s="1"/>
      <c r="I62" s="1"/>
      <c r="J62" s="1"/>
      <c r="K62" s="1"/>
      <c r="L62" s="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6"/>
      <c r="C63" s="1"/>
      <c r="D63" s="1"/>
      <c r="E63" s="1"/>
      <c r="F63" s="1"/>
      <c r="G63" s="1"/>
      <c r="H63" s="1"/>
      <c r="I63" s="1"/>
      <c r="J63" s="30" t="s">
        <v>40</v>
      </c>
      <c r="K63" s="16" t="s">
        <v>41</v>
      </c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" t="s">
        <v>42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7" t="s">
        <v>8</v>
      </c>
      <c r="C68" s="18" t="s">
        <v>9</v>
      </c>
      <c r="D68" s="61" t="s">
        <v>10</v>
      </c>
      <c r="E68" s="4"/>
      <c r="F68" s="4"/>
      <c r="G68" s="4"/>
      <c r="H68" s="4"/>
      <c r="I68" s="19" t="s">
        <v>11</v>
      </c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21" t="s">
        <v>34</v>
      </c>
      <c r="C69" s="1"/>
      <c r="D69" s="1"/>
      <c r="E69" s="1"/>
      <c r="F69" s="1"/>
      <c r="I69" s="79">
        <f>NOW()</f>
        <v>46284.60626</v>
      </c>
      <c r="J69" s="80" t="str">
        <f>Text(NOW(),"HH:MM:SS")</f>
        <v>14:33:01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6"/>
      <c r="C70" s="1"/>
      <c r="D70" s="1"/>
      <c r="E70" s="1"/>
      <c r="F70" s="1"/>
      <c r="J70" s="2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6"/>
      <c r="C71" s="1"/>
      <c r="D71" s="1"/>
      <c r="E71" s="1"/>
      <c r="F71" s="1"/>
      <c r="I71" s="1"/>
      <c r="J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6"/>
      <c r="C72" s="25" t="s">
        <v>13</v>
      </c>
      <c r="D72" s="1"/>
      <c r="E72" s="1"/>
      <c r="F72" s="1"/>
      <c r="I72" s="1"/>
      <c r="J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6"/>
      <c r="C73" s="81"/>
      <c r="D73" s="1"/>
      <c r="E73" s="1"/>
      <c r="F73" s="1"/>
      <c r="G73" s="1"/>
      <c r="H73" s="1"/>
      <c r="I73" s="1"/>
      <c r="J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6"/>
      <c r="C74" s="82" t="s">
        <v>15</v>
      </c>
      <c r="D74" s="1"/>
      <c r="E74" s="37" t="s">
        <v>43</v>
      </c>
      <c r="F74" s="83"/>
      <c r="G74" s="1"/>
      <c r="H74" s="84" t="s">
        <v>44</v>
      </c>
      <c r="I74" s="85">
        <v>6.0</v>
      </c>
      <c r="J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6"/>
      <c r="C75" s="82" t="s">
        <v>17</v>
      </c>
      <c r="D75" s="1"/>
      <c r="E75" s="16" t="s">
        <v>39</v>
      </c>
      <c r="G75" s="1"/>
      <c r="H75" s="84" t="s">
        <v>45</v>
      </c>
      <c r="I75" s="85">
        <v>3.0</v>
      </c>
      <c r="J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6"/>
      <c r="C76" s="82" t="s">
        <v>19</v>
      </c>
      <c r="D76" s="1"/>
      <c r="E76" s="1"/>
      <c r="F76" s="1"/>
      <c r="G76" s="1"/>
      <c r="H76" s="84" t="s">
        <v>46</v>
      </c>
      <c r="I76" s="85">
        <v>5.0</v>
      </c>
      <c r="J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6"/>
      <c r="C77" s="82" t="s">
        <v>20</v>
      </c>
      <c r="D77" s="1"/>
      <c r="E77" s="31" t="s">
        <v>47</v>
      </c>
      <c r="F77" s="86"/>
      <c r="G77" s="1"/>
      <c r="H77" s="84" t="s">
        <v>48</v>
      </c>
      <c r="I77" s="85">
        <v>3.0</v>
      </c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6"/>
      <c r="C78" s="87"/>
      <c r="D78" s="1"/>
      <c r="E78" s="32" t="s">
        <v>49</v>
      </c>
      <c r="F78" s="86"/>
      <c r="G78" s="1"/>
      <c r="H78" s="1"/>
      <c r="I78" s="1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6"/>
      <c r="C79" s="87"/>
      <c r="D79" s="1"/>
      <c r="E79" s="1"/>
      <c r="F79" s="1"/>
      <c r="G79" s="1"/>
      <c r="H79" s="1"/>
      <c r="I79" s="1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6"/>
      <c r="C80" s="87"/>
      <c r="D80" s="1"/>
      <c r="E80" s="1"/>
      <c r="F80" s="1"/>
      <c r="G80" s="1"/>
      <c r="H80" s="1"/>
      <c r="I80" s="1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6"/>
      <c r="C81" s="87"/>
      <c r="D81" s="1"/>
      <c r="E81" s="31" t="s">
        <v>50</v>
      </c>
      <c r="F81" s="88"/>
      <c r="G81" s="89"/>
      <c r="H81" s="1"/>
      <c r="I81" s="1"/>
      <c r="J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6"/>
      <c r="C82" s="87"/>
      <c r="D82" s="1"/>
      <c r="E82" s="1"/>
      <c r="F82" s="1"/>
      <c r="G82" s="1"/>
      <c r="H82" s="1"/>
      <c r="I82" s="1"/>
      <c r="J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6"/>
      <c r="C83" s="87"/>
      <c r="D83" s="1"/>
      <c r="E83" s="16"/>
      <c r="F83" s="52"/>
      <c r="G83" s="90" t="s">
        <v>51</v>
      </c>
      <c r="H83" s="1"/>
      <c r="I83" s="1"/>
      <c r="J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6"/>
      <c r="C84" s="87"/>
      <c r="D84" s="1"/>
      <c r="E84" s="16"/>
      <c r="F84" s="52"/>
      <c r="G84" s="1"/>
      <c r="H84" s="1"/>
      <c r="I84" s="1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6"/>
      <c r="C85" s="87"/>
      <c r="D85" s="1"/>
      <c r="E85" s="31" t="s">
        <v>52</v>
      </c>
      <c r="F85" s="91" t="s">
        <v>53</v>
      </c>
      <c r="G85" s="1"/>
      <c r="H85" s="1"/>
      <c r="I85" s="1"/>
      <c r="J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6"/>
      <c r="C86" s="92"/>
      <c r="D86" s="1"/>
      <c r="E86" s="1"/>
      <c r="F86" s="1"/>
      <c r="G86" s="1"/>
      <c r="H86" s="1"/>
      <c r="I86" s="1"/>
      <c r="J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6"/>
      <c r="C87" s="1"/>
      <c r="D87" s="1"/>
      <c r="E87" s="1"/>
      <c r="F87" s="1"/>
      <c r="G87" s="1"/>
      <c r="H87" s="1"/>
      <c r="I87" s="1"/>
      <c r="J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3"/>
      <c r="C88" s="14"/>
      <c r="D88" s="14"/>
      <c r="E88" s="14"/>
      <c r="F88" s="14"/>
      <c r="G88" s="14"/>
      <c r="H88" s="14"/>
      <c r="I88" s="14"/>
      <c r="J88" s="1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7">
    <mergeCell ref="D3:F3"/>
    <mergeCell ref="E19:F19"/>
    <mergeCell ref="E20:F20"/>
    <mergeCell ref="F22:G22"/>
    <mergeCell ref="F23:G23"/>
    <mergeCell ref="E74:F74"/>
    <mergeCell ref="E75:F75"/>
  </mergeCells>
  <dataValidations>
    <dataValidation type="list" allowBlank="1" showErrorMessage="1" sqref="E20">
      <formula1>"Meta,Google,Spotify"</formula1>
    </dataValidation>
    <dataValidation type="list" allowBlank="1" showErrorMessage="1" sqref="E75">
      <formula1>"Select Option,Vacation Leave,Sick Leave"</formula1>
    </dataValidation>
    <dataValidation type="list" allowBlank="1" showErrorMessage="1" sqref="B14 B39 B69">
      <formula1>"Agent,Team Lead,Manager,Admin"</formula1>
    </dataValidation>
    <dataValidation type="list" allowBlank="1" showErrorMessage="1" sqref="F23">
      <formula1>"Select Option,Productive,Break,Lunch,Coaching,Training,Meeting,Downtime,Clock Out"</formula1>
    </dataValidation>
    <dataValidation type="list" allowBlank="1" showErrorMessage="1" sqref="F22">
      <formula1>"Clock In,Clock Out,Select Option"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1" width="13.5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3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6"/>
      <c r="D3" s="7" t="s">
        <v>1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6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6"/>
      <c r="D5" s="9" t="s">
        <v>2</v>
      </c>
      <c r="E5" s="10"/>
      <c r="F5" s="11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6"/>
      <c r="D6" s="9" t="s">
        <v>3</v>
      </c>
      <c r="E6" s="10"/>
      <c r="F6" s="11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6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"/>
      <c r="C8" s="6"/>
      <c r="D8" s="12" t="s">
        <v>4</v>
      </c>
      <c r="E8" s="1"/>
      <c r="F8" s="12" t="s">
        <v>5</v>
      </c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6"/>
      <c r="D9" s="1"/>
      <c r="E9" s="1"/>
      <c r="F9" s="1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6"/>
      <c r="D10" s="1"/>
      <c r="E10" s="1"/>
      <c r="F10" s="1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3"/>
      <c r="D11" s="14"/>
      <c r="E11" s="14"/>
      <c r="F11" s="14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 t="s">
        <v>7</v>
      </c>
      <c r="B13" s="17" t="s">
        <v>8</v>
      </c>
      <c r="C13" s="18" t="s">
        <v>9</v>
      </c>
      <c r="D13" s="18" t="s">
        <v>10</v>
      </c>
      <c r="E13" s="4"/>
      <c r="F13" s="4"/>
      <c r="G13" s="4"/>
      <c r="H13" s="19" t="s">
        <v>11</v>
      </c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1" t="s">
        <v>12</v>
      </c>
      <c r="C14" s="1"/>
      <c r="D14" s="1"/>
      <c r="E14" s="1"/>
      <c r="F14" s="1"/>
      <c r="H14" s="22">
        <f>NOW()</f>
        <v>46284.60626</v>
      </c>
      <c r="I14" s="23" t="str">
        <f>Text(NOW(),"HH:MM:SS")</f>
        <v>14:33:01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6"/>
      <c r="C15" s="1"/>
      <c r="D15" s="1"/>
      <c r="E15" s="1"/>
      <c r="F15" s="1"/>
      <c r="I15" s="2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6"/>
      <c r="C16" s="1"/>
      <c r="D16" s="1"/>
      <c r="E16" s="1"/>
      <c r="F16" s="1"/>
      <c r="G16" s="1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6"/>
      <c r="C17" s="1"/>
      <c r="D17" s="1"/>
      <c r="E17" s="1"/>
      <c r="F17" s="1"/>
      <c r="G17" s="1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6"/>
      <c r="C18" s="1"/>
      <c r="D18" s="1"/>
      <c r="E18" s="1"/>
      <c r="F18" s="1"/>
      <c r="G18" s="1"/>
      <c r="H18" s="1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6"/>
      <c r="C19" s="1"/>
      <c r="D19" s="1"/>
      <c r="E19" s="1"/>
      <c r="F19" s="1"/>
      <c r="G19" s="1"/>
      <c r="H19" s="1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6"/>
      <c r="C20" s="1"/>
      <c r="D20" s="1"/>
      <c r="E20" s="1"/>
      <c r="F20" s="1"/>
      <c r="G20" s="1"/>
      <c r="H20" s="1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6"/>
      <c r="C21" s="1"/>
      <c r="D21" s="9" t="s">
        <v>14</v>
      </c>
      <c r="E21" s="10"/>
      <c r="F21" s="11"/>
      <c r="G21" s="1"/>
      <c r="H21" s="1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6"/>
      <c r="C22" s="1"/>
      <c r="D22" s="1"/>
      <c r="E22" s="1"/>
      <c r="F22" s="1"/>
      <c r="G22" s="1"/>
      <c r="H22" s="1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6"/>
      <c r="C23" s="1"/>
      <c r="D23" s="1"/>
      <c r="E23" s="1"/>
      <c r="F23" s="1"/>
      <c r="G23" s="1"/>
      <c r="H23" s="1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6"/>
      <c r="C24" s="1"/>
      <c r="D24" s="1"/>
      <c r="E24" s="1"/>
      <c r="F24" s="1"/>
      <c r="G24" s="1"/>
      <c r="H24" s="27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6"/>
      <c r="C25" s="1"/>
      <c r="D25" s="1"/>
      <c r="E25" s="1"/>
      <c r="F25" s="1"/>
      <c r="G25" s="1"/>
      <c r="H25" s="1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6"/>
      <c r="C26" s="1"/>
      <c r="D26" s="1"/>
      <c r="E26" s="1"/>
      <c r="F26" s="1"/>
      <c r="G26" s="1"/>
      <c r="H26" s="16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6"/>
      <c r="C27" s="1"/>
      <c r="D27" s="1"/>
      <c r="E27" s="1"/>
      <c r="F27" s="1"/>
      <c r="G27" s="1"/>
      <c r="H27" s="16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6"/>
      <c r="C28" s="1"/>
      <c r="D28" s="1"/>
      <c r="E28" s="1"/>
      <c r="F28" s="1"/>
      <c r="G28" s="1"/>
      <c r="H28" s="16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6"/>
      <c r="C29" s="1"/>
      <c r="D29" s="1"/>
      <c r="E29" s="1"/>
      <c r="F29" s="1"/>
      <c r="G29" s="1"/>
      <c r="H29" s="30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6"/>
      <c r="C30" s="1"/>
      <c r="D30" s="1"/>
      <c r="E30" s="1"/>
      <c r="F30" s="1"/>
      <c r="G30" s="1"/>
      <c r="H30" s="16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6"/>
      <c r="C31" s="1"/>
      <c r="D31" s="1"/>
      <c r="E31" s="1"/>
      <c r="F31" s="1"/>
      <c r="G31" s="1"/>
      <c r="H31" s="16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6"/>
      <c r="C32" s="1"/>
      <c r="D32" s="1"/>
      <c r="E32" s="1"/>
      <c r="F32" s="1"/>
      <c r="G32" s="1"/>
      <c r="H32" s="1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3"/>
      <c r="C33" s="14"/>
      <c r="D33" s="14"/>
      <c r="E33" s="14"/>
      <c r="F33" s="14"/>
      <c r="G33" s="14"/>
      <c r="H33" s="14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7" t="s">
        <v>8</v>
      </c>
      <c r="C38" s="18" t="s">
        <v>9</v>
      </c>
      <c r="D38" s="18" t="s">
        <v>10</v>
      </c>
      <c r="E38" s="4"/>
      <c r="F38" s="4"/>
      <c r="G38" s="4"/>
      <c r="H38" s="19" t="s">
        <v>11</v>
      </c>
      <c r="I38" s="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1" t="s">
        <v>12</v>
      </c>
      <c r="C39" s="1"/>
      <c r="D39" s="1"/>
      <c r="E39" s="1"/>
      <c r="F39" s="1"/>
      <c r="H39" s="22">
        <f>NOW()</f>
        <v>46284.60626</v>
      </c>
      <c r="I39" s="23" t="str">
        <f>Text(NOW(),"HH:MM:SS")</f>
        <v>14:33:01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6"/>
      <c r="C40" s="1"/>
      <c r="D40" s="1"/>
      <c r="E40" s="1"/>
      <c r="F40" s="1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6"/>
      <c r="C41" s="1"/>
      <c r="D41" s="1"/>
      <c r="E41" s="1"/>
      <c r="F41" s="1"/>
      <c r="G41" s="1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6"/>
      <c r="C42" s="1"/>
      <c r="D42" s="1"/>
      <c r="E42" s="1"/>
      <c r="F42" s="1"/>
      <c r="G42" s="1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6"/>
      <c r="C43" s="34" t="s">
        <v>26</v>
      </c>
      <c r="D43" s="35"/>
      <c r="E43" s="35"/>
      <c r="F43" s="35"/>
      <c r="G43" s="35"/>
      <c r="H43" s="36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6"/>
      <c r="C44" s="39"/>
      <c r="H44" s="40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6"/>
      <c r="C45" s="39"/>
      <c r="H45" s="40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6"/>
      <c r="C46" s="39"/>
      <c r="H46" s="40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6"/>
      <c r="C47" s="39"/>
      <c r="H47" s="40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6"/>
      <c r="C48" s="39"/>
      <c r="H48" s="40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6"/>
      <c r="C49" s="39"/>
      <c r="H49" s="40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6"/>
      <c r="C50" s="39"/>
      <c r="H50" s="40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6"/>
      <c r="C51" s="39"/>
      <c r="H51" s="40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6"/>
      <c r="C52" s="39"/>
      <c r="H52" s="40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6"/>
      <c r="C53" s="39"/>
      <c r="H53" s="40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6"/>
      <c r="C54" s="46"/>
      <c r="D54" s="47"/>
      <c r="E54" s="47"/>
      <c r="F54" s="47"/>
      <c r="G54" s="47"/>
      <c r="H54" s="4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6"/>
      <c r="C55" s="1"/>
      <c r="D55" s="1"/>
      <c r="E55" s="1"/>
      <c r="F55" s="1"/>
      <c r="G55" s="1"/>
      <c r="H55" s="16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6"/>
      <c r="C56" s="1"/>
      <c r="D56" s="50" t="s">
        <v>30</v>
      </c>
      <c r="E56" s="35"/>
      <c r="F56" s="35"/>
      <c r="G56" s="36"/>
      <c r="H56" s="16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6"/>
      <c r="C57" s="1"/>
      <c r="D57" s="46"/>
      <c r="E57" s="47"/>
      <c r="F57" s="47"/>
      <c r="G57" s="48"/>
      <c r="H57" s="1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3"/>
      <c r="C58" s="14"/>
      <c r="D58" s="14"/>
      <c r="E58" s="14"/>
      <c r="F58" s="14"/>
      <c r="G58" s="14"/>
      <c r="H58" s="14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" t="s">
        <v>32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57"/>
      <c r="C65" s="44"/>
      <c r="D65" s="44"/>
      <c r="E65" s="44"/>
      <c r="F65" s="44"/>
      <c r="G65" s="44"/>
      <c r="H65" s="44"/>
      <c r="I65" s="44"/>
      <c r="J65" s="44"/>
      <c r="K65" s="44"/>
      <c r="L65" s="5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59"/>
      <c r="L66" s="2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59"/>
      <c r="L67" s="2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59"/>
      <c r="K68" s="60">
        <v>1.0</v>
      </c>
      <c r="L68" s="2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59"/>
      <c r="E69" s="62"/>
      <c r="F69" s="62"/>
      <c r="G69" s="62"/>
      <c r="H69" s="62"/>
      <c r="I69" s="62"/>
      <c r="J69" s="62"/>
      <c r="K69" s="63"/>
      <c r="L69" s="2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59"/>
      <c r="K70" s="63"/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59"/>
      <c r="K71" s="63"/>
      <c r="L71" s="2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59"/>
      <c r="K72" s="63"/>
      <c r="L72" s="2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59"/>
      <c r="E73" s="62"/>
      <c r="F73" s="62"/>
      <c r="G73" s="62"/>
      <c r="H73" s="62"/>
      <c r="I73" s="62"/>
      <c r="J73" s="62"/>
      <c r="K73" s="63"/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59"/>
      <c r="K74" s="64"/>
      <c r="L74" s="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59"/>
      <c r="L75" s="2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59"/>
      <c r="D76" s="65" t="s">
        <v>35</v>
      </c>
      <c r="L76" s="2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59"/>
      <c r="K77" s="62"/>
      <c r="L77" s="2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59"/>
      <c r="L78" s="2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59"/>
      <c r="L79" s="2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59"/>
      <c r="L80" s="2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59"/>
      <c r="E81" s="62"/>
      <c r="F81" s="62"/>
      <c r="G81" s="62"/>
      <c r="H81" s="62"/>
      <c r="I81" s="62"/>
      <c r="J81" s="62"/>
      <c r="K81" s="62"/>
      <c r="L81" s="2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59"/>
      <c r="L82" s="2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59"/>
      <c r="L83" s="2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59"/>
      <c r="L84" s="2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59"/>
      <c r="C85" s="68">
        <v>1.0</v>
      </c>
      <c r="D85" s="68">
        <v>2.0</v>
      </c>
      <c r="E85" s="68">
        <v>3.0</v>
      </c>
      <c r="F85" s="68">
        <v>4.0</v>
      </c>
      <c r="G85" s="68">
        <v>5.0</v>
      </c>
      <c r="H85" s="68">
        <v>6.0</v>
      </c>
      <c r="I85" s="68">
        <v>7.0</v>
      </c>
      <c r="J85" s="68">
        <v>8.0</v>
      </c>
      <c r="K85" s="68">
        <v>9.0</v>
      </c>
      <c r="L85" s="2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59"/>
      <c r="C86" s="68">
        <v>10.0</v>
      </c>
      <c r="D86" s="68">
        <v>11.0</v>
      </c>
      <c r="E86" s="68">
        <v>12.0</v>
      </c>
      <c r="F86" s="68">
        <v>13.0</v>
      </c>
      <c r="G86" s="68">
        <v>14.0</v>
      </c>
      <c r="H86" s="68">
        <v>15.0</v>
      </c>
      <c r="I86" s="68">
        <v>16.0</v>
      </c>
      <c r="J86" s="68">
        <v>17.0</v>
      </c>
      <c r="K86" s="68">
        <v>18.0</v>
      </c>
      <c r="L86" s="2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59"/>
      <c r="C87" s="69"/>
      <c r="D87" s="69"/>
      <c r="E87" s="69"/>
      <c r="F87" s="69"/>
      <c r="G87" s="69"/>
      <c r="H87" s="69"/>
      <c r="I87" s="69"/>
      <c r="J87" s="69"/>
      <c r="K87" s="69"/>
      <c r="L87" s="2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59"/>
      <c r="C88" s="69"/>
      <c r="D88" s="69"/>
      <c r="E88" s="69"/>
      <c r="F88" s="69"/>
      <c r="G88" s="69"/>
      <c r="H88" s="69"/>
      <c r="I88" s="69"/>
      <c r="J88" s="69"/>
      <c r="K88" s="69"/>
      <c r="L88" s="2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59"/>
      <c r="L89" s="2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71"/>
      <c r="C90" s="73"/>
      <c r="D90" s="73"/>
      <c r="E90" s="73"/>
      <c r="F90" s="73"/>
      <c r="G90" s="73"/>
      <c r="H90" s="73"/>
      <c r="I90" s="73"/>
      <c r="J90" s="73"/>
      <c r="K90" s="73"/>
      <c r="L90" s="7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</sheetData>
  <mergeCells count="5">
    <mergeCell ref="D3:F3"/>
    <mergeCell ref="C43:H54"/>
    <mergeCell ref="D56:G57"/>
    <mergeCell ref="K68:K74"/>
    <mergeCell ref="D76:J79"/>
  </mergeCells>
  <dataValidations>
    <dataValidation type="list" allowBlank="1" showErrorMessage="1" sqref="B14 B39">
      <formula1>"Task 1,Task 2,Task 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